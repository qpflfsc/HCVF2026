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I_TIET_PHIEU_THAM_VAN" sheetId="1" state="visible" r:id="rId1"/>
    <sheet xmlns:r="http://schemas.openxmlformats.org/officeDocument/2006/relationships" name="TONG_HOP_THONG_KE" sheetId="2" state="visible" r:id="rId2"/>
  </sheets>
  <definedNames/>
  <calcPr calcId="124519" fullCalcOnLoad="1"/>
</workbook>
</file>

<file path=xl/styles.xml><?xml version="1.0" encoding="utf-8"?>
<styleSheet xmlns="http://schemas.openxmlformats.org/spreadsheetml/2006/main">
  <numFmts count="1">
    <numFmt numFmtId="164" formatCode="0.0%"/>
  </numFmts>
  <fonts count="8">
    <font>
      <name val="Calibri"/>
      <family val="2"/>
      <color theme="1"/>
      <sz val="11"/>
      <scheme val="minor"/>
    </font>
    <font>
      <name val="Times New Roman"/>
      <b val="1"/>
      <color rgb="001B365D"/>
      <sz val="14"/>
    </font>
    <font>
      <name val="Times New Roman"/>
      <b val="1"/>
      <color rgb="002E75B6"/>
      <sz val="12"/>
    </font>
    <font>
      <name val="Times New Roman"/>
      <i val="1"/>
      <sz val="10"/>
    </font>
    <font>
      <name val="Times New Roman"/>
      <b val="1"/>
      <color rgb="00FFFFFF"/>
      <sz val="10"/>
    </font>
    <font>
      <name val="Times New Roman"/>
      <sz val="10"/>
    </font>
    <font>
      <name val="Times New Roman"/>
      <b val="1"/>
      <color rgb="002E75B6"/>
      <sz val="11"/>
    </font>
    <font>
      <name val="Times New Roman"/>
      <b val="1"/>
      <sz val="10"/>
    </font>
  </fonts>
  <fills count="4">
    <fill>
      <patternFill/>
    </fill>
    <fill>
      <patternFill patternType="gray125"/>
    </fill>
    <fill>
      <patternFill patternType="solid">
        <fgColor rgb="001B365D"/>
        <bgColor rgb="001B365D"/>
      </patternFill>
    </fill>
    <fill>
      <patternFill patternType="solid">
        <fgColor rgb="00F9FAFC"/>
        <bgColor rgb="00F9FAF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xf>
    <xf numFmtId="0" fontId="5" fillId="0" borderId="1" applyAlignment="1" pivotButton="0" quotePrefix="0" xfId="0">
      <alignment horizontal="left" vertical="center"/>
    </xf>
    <xf numFmtId="0" fontId="5" fillId="3" borderId="1" applyAlignment="1" pivotButton="0" quotePrefix="0" xfId="0">
      <alignment horizontal="center" vertical="center"/>
    </xf>
    <xf numFmtId="0" fontId="5" fillId="3" borderId="1" applyAlignment="1" pivotButton="0" quotePrefix="0" xfId="0">
      <alignment horizontal="left" vertical="center"/>
    </xf>
    <xf numFmtId="0" fontId="6" fillId="0" borderId="0" pivotButton="0" quotePrefix="0" xfId="0"/>
    <xf numFmtId="0" fontId="7" fillId="0" borderId="0" pivotButton="0" quotePrefix="0" xfId="0"/>
    <xf numFmtId="0" fontId="4" fillId="2" borderId="1" applyAlignment="1" pivotButton="0" quotePrefix="0" xfId="0">
      <alignment horizontal="center"/>
    </xf>
    <xf numFmtId="0" fontId="5" fillId="0" borderId="1" applyAlignment="1" pivotButton="0" quotePrefix="0" xfId="0">
      <alignment horizontal="center"/>
    </xf>
    <xf numFmtId="0" fontId="5" fillId="0" borderId="1" applyAlignment="1" pivotButton="0" quotePrefix="0" xfId="0">
      <alignment horizontal="left"/>
    </xf>
    <xf numFmtId="3" fontId="5" fillId="0" borderId="1" pivotButton="0" quotePrefix="0" xfId="0"/>
    <xf numFmtId="164" fontId="5"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8"/>
  <sheetViews>
    <sheetView workbookViewId="0">
      <selection activeCell="A1" sqref="A1"/>
    </sheetView>
  </sheetViews>
  <sheetFormatPr baseColWidth="8" defaultRowHeight="15"/>
  <cols>
    <col width="40" customWidth="1" min="1" max="1"/>
    <col width="22" customWidth="1" min="2" max="2"/>
    <col width="25" customWidth="1" min="3" max="3"/>
    <col width="20" customWidth="1" min="4" max="4"/>
    <col width="35" customWidth="1" min="5" max="5"/>
    <col width="23" customWidth="1" min="6" max="6"/>
    <col width="35" customWidth="1" min="7" max="7"/>
    <col width="33" customWidth="1" min="8" max="8"/>
    <col width="28" customWidth="1" min="9" max="9"/>
    <col width="40" customWidth="1" min="10" max="10"/>
    <col width="40" customWidth="1" min="11" max="11"/>
    <col width="40" customWidth="1" min="12" max="12"/>
    <col width="40" customWidth="1" min="13" max="13"/>
    <col width="40" customWidth="1" min="14" max="14"/>
    <col width="40" customWidth="1" min="15" max="15"/>
    <col width="40" customWidth="1" min="16" max="16"/>
    <col width="40" customWidth="1" min="17" max="17"/>
    <col width="40" customWidth="1" min="18" max="18"/>
    <col width="23" customWidth="1" min="19" max="19"/>
    <col width="39" customWidth="1" min="20" max="20"/>
  </cols>
  <sheetData>
    <row r="1">
      <c r="A1" s="1" t="inlineStr">
        <is>
          <t>CÔNG TY TNHH TRỒNG RỪNG QUY NHƠN (QPFL) — CHỨNG CHỈ FSC</t>
        </is>
      </c>
    </row>
    <row r="2">
      <c r="A2" s="2" t="inlineStr">
        <is>
          <t>BẢNG KẾT QUẢ THAM VẤN CÁC BÊN LIÊN QUAN VỀ RỪNG CÓ GIÁ TRỊ BẢO TỒN CAO (HCVF) NĂM 2026</t>
        </is>
      </c>
    </row>
    <row r="3">
      <c r="A3" s="3" t="inlineStr">
        <is>
          <t>Hệ thống thu thập trực tuyến qpflfsc.github.io/HCVF2026 | Cập nhật: 27/10/2026 08:30:00 | Tác giả: Lộc Vũ Trung</t>
        </is>
      </c>
    </row>
    <row r="4"/>
    <row r="5" ht="28" customHeight="1">
      <c r="A5" s="4" t="inlineStr">
        <is>
          <t>STT</t>
        </is>
      </c>
      <c r="B5" s="4" t="inlineStr">
        <is>
          <t>Thời gian ghi nhận</t>
        </is>
      </c>
      <c r="C5" s="4" t="inlineStr">
        <is>
          <t>Họ và tên người đại diện</t>
        </is>
      </c>
      <c r="D5" s="4" t="inlineStr">
        <is>
          <t>Chức vụ / Học vị</t>
        </is>
      </c>
      <c r="E5" s="4" t="inlineStr">
        <is>
          <t>Cơ quan / Đơn vị / Trường Viện / Thôn xóm</t>
        </is>
      </c>
      <c r="F5" s="4" t="inlineStr">
        <is>
          <t>Số điện thoại / Zalo</t>
        </is>
      </c>
      <c r="G5" s="4" t="inlineStr">
        <is>
          <t>Email người phản hồi</t>
        </is>
      </c>
      <c r="H5" s="4" t="inlineStr">
        <is>
          <t>Địa bàn xã / khu vực liên quan</t>
        </is>
      </c>
      <c r="I5" s="4" t="inlineStr">
        <is>
          <t>Tư cách tham vấn</t>
        </is>
      </c>
      <c r="J5" s="4" t="inlineStr">
        <is>
          <t>1. Đa dạng ĐV-TV &amp; Lâm sản phụ (Chọn)</t>
        </is>
      </c>
      <c r="K5" s="4" t="inlineStr">
        <is>
          <t>1. Ghi chú ý kiến loài</t>
        </is>
      </c>
      <c r="L5" s="4" t="inlineStr">
        <is>
          <t>2. Nguồn nước &amp; Chống xói mòn HCV 4 (Chọn)</t>
        </is>
      </c>
      <c r="M5" s="4" t="inlineStr">
        <is>
          <t>2. Ghi chú suối/hầm lắng</t>
        </is>
      </c>
      <c r="N5" s="4" t="inlineStr">
        <is>
          <t>3. Mồ mả, PCCC &amp; Ranh giới (Chọn)</t>
        </is>
      </c>
      <c r="O5" s="4" t="inlineStr">
        <is>
          <t>3. Ghi chú ranh giới/mồ mả/PCCC</t>
        </is>
      </c>
      <c r="P5" s="4" t="inlineStr">
        <is>
          <t>4. Giải pháp &amp; Cam kết QPFL (Chọn)</t>
        </is>
      </c>
      <c r="Q5" s="4" t="inlineStr">
        <is>
          <t>4. Đề xuất giải pháp thêm</t>
        </is>
      </c>
      <c r="R5" s="4" t="inlineStr">
        <is>
          <t>Kiến nghị / Đề xuất chung</t>
        </is>
      </c>
      <c r="S5" s="4" t="inlineStr">
        <is>
          <t>Người gửi / xác nhận</t>
        </is>
      </c>
      <c r="T5" s="4" t="inlineStr">
        <is>
          <t>Cán bộ tiếp nhận QPFL</t>
        </is>
      </c>
    </row>
    <row r="6">
      <c r="A6" s="5" t="n">
        <v>1</v>
      </c>
      <c r="B6" s="5" t="inlineStr">
        <is>
          <t>22/10/2026 10:02:17</t>
        </is>
      </c>
      <c r="C6" s="6" t="inlineStr">
        <is>
          <t>Phạm Lưu Hùng</t>
        </is>
      </c>
      <c r="D6" s="6" t="inlineStr">
        <is>
          <t>Giám đốc</t>
        </is>
      </c>
      <c r="E6" s="6" t="inlineStr">
        <is>
          <t>Công Ty TNHH Lâm Nghiệp Quyên Thắng</t>
        </is>
      </c>
      <c r="F6" s="5" t="inlineStr">
        <is>
          <t>0974555345</t>
        </is>
      </c>
      <c r="G6" s="5" t="inlineStr"/>
      <c r="H6" s="6" t="inlineStr">
        <is>
          <t>Canh Liên</t>
        </is>
      </c>
      <c r="I6" s="6" t="inlineStr">
        <is>
          <t>Đối tác</t>
        </is>
      </c>
      <c r="J6" s="6" t="inlineStr">
        <is>
          <t>Mức 1 - Hoàn toàn nhất trí: Thực tế địa phương chỉ có các loài phổ thông, chưa thấy loài quý hiếm; nhất trí với quy chế cho người dân thu hái lâm sản phụ.</t>
        </is>
      </c>
      <c r="K6" s="6" t="inlineStr"/>
      <c r="L6" s="6" t="inlineStr">
        <is>
          <t>Mức 1 - Tốt và rất an tâm: Rừng trồng và 63 hầm lắng giữ đất nước tốt, mùa mưa các năm qua không xảy ra sạt lở hay bồi lấp ruộng vườn.</t>
        </is>
      </c>
      <c r="M6" s="6" t="inlineStr"/>
      <c r="N6" s="6" t="inlineStr">
        <is>
          <t>Mức 1 - Rất hài lòng: Công ty tôn trọng tuyệt đối phong tục, mồ mả được giữ nguyên vẹn đai bảo vệ, ranh giới ổn định.</t>
        </is>
      </c>
      <c r="O6" s="6" t="inlineStr"/>
      <c r="P6" s="6" t="inlineStr">
        <is>
          <t>Mức 1 - Rất thực tế và ủng hộ cao: Các cam kết rất sát sườn, đúng mong mỏi của địa phương; hoàn toàn ủng hộ công ty duy trì FSC.</t>
        </is>
      </c>
      <c r="Q6" s="6" t="inlineStr"/>
      <c r="R6" s="6" t="inlineStr"/>
      <c r="S6" s="6" t="inlineStr">
        <is>
          <t>Phạm Lưu Hùng</t>
        </is>
      </c>
      <c r="T6" s="6" t="inlineStr">
        <is>
          <t>Trần Quang Tâm (Phòng Kỹ Thuật QPFL)</t>
        </is>
      </c>
    </row>
    <row r="7">
      <c r="A7" s="7" t="n">
        <v>2</v>
      </c>
      <c r="B7" s="7" t="inlineStr">
        <is>
          <t>22/10/2026 10:04:25</t>
        </is>
      </c>
      <c r="C7" s="8" t="inlineStr">
        <is>
          <t xml:space="preserve">Phạm Thanh Trường </t>
        </is>
      </c>
      <c r="D7" s="8" t="inlineStr">
        <is>
          <t xml:space="preserve">Nhân viên </t>
        </is>
      </c>
      <c r="E7" s="8" t="inlineStr">
        <is>
          <t>Xí nghiệp lâm nghiệp pisico</t>
        </is>
      </c>
      <c r="F7" s="7" t="inlineStr">
        <is>
          <t>0985796812</t>
        </is>
      </c>
      <c r="G7" s="7" t="inlineStr">
        <is>
          <t>phamthanhtruongklb@gmail.com</t>
        </is>
      </c>
      <c r="H7" s="8" t="inlineStr">
        <is>
          <t>Hoài Nhơn Bắc</t>
        </is>
      </c>
      <c r="I7" s="8" t="inlineStr">
        <is>
          <t>Người dân</t>
        </is>
      </c>
      <c r="J7" s="8" t="inlineStr">
        <is>
          <t>Mức 1 - Hoàn toàn nhất trí: Thực tế địa phương chỉ có các loài phổ thông, chưa thấy loài quý hiếm; nhất trí với quy chế cho người dân thu hái lâm sản phụ.</t>
        </is>
      </c>
      <c r="K7" s="8" t="inlineStr"/>
      <c r="L7" s="8" t="inlineStr">
        <is>
          <t>Mức 1 - Tốt và rất an tâm: Rừng trồng và 63 hầm lắng giữ đất nước tốt, mùa mưa các năm qua không xảy ra sạt lở hay bồi lấp ruộng vườn.</t>
        </is>
      </c>
      <c r="M7" s="8" t="inlineStr"/>
      <c r="N7" s="8" t="inlineStr">
        <is>
          <t>Mức 1 - Rất hài lòng: Công ty tôn trọng tuyệt đối phong tục, mồ mả được giữ nguyên vẹn đai bảo vệ, ranh giới ổn định.</t>
        </is>
      </c>
      <c r="O7" s="8" t="inlineStr"/>
      <c r="P7" s="8" t="inlineStr">
        <is>
          <t>Mức 1 - Rất thực tế và ủng hộ cao: Các cam kết rất sát sườn, đúng mong mỏi của địa phương; hoàn toàn ủng hộ công ty duy trì FSC.</t>
        </is>
      </c>
      <c r="Q7" s="8" t="inlineStr"/>
      <c r="R7" s="8" t="inlineStr"/>
      <c r="S7" s="8" t="inlineStr">
        <is>
          <t xml:space="preserve">Phạm Thanh Trường </t>
        </is>
      </c>
      <c r="T7" s="8" t="inlineStr">
        <is>
          <t>Trần Quang Tâm (Phòng Kỹ Thuật QPFL)</t>
        </is>
      </c>
    </row>
    <row r="8">
      <c r="A8" s="5" t="n">
        <v>3</v>
      </c>
      <c r="B8" s="5" t="inlineStr">
        <is>
          <t>22/10/2026 10:15:18</t>
        </is>
      </c>
      <c r="C8" s="6" t="inlineStr">
        <is>
          <t>Phan Thanh Hồng</t>
        </is>
      </c>
      <c r="D8" s="6" t="inlineStr">
        <is>
          <t>Trưởng Thôn</t>
        </is>
      </c>
      <c r="E8" s="6" t="inlineStr">
        <is>
          <t xml:space="preserve">Thôn Vĩnh Phước </t>
        </is>
      </c>
      <c r="F8" s="5" t="inlineStr">
        <is>
          <t>0974085296</t>
        </is>
      </c>
      <c r="G8" s="5" t="inlineStr">
        <is>
          <t>phanthanhhong.08041993@gmail.com</t>
        </is>
      </c>
      <c r="H8" s="6" t="inlineStr">
        <is>
          <t>Bình Dương</t>
        </is>
      </c>
      <c r="I8" s="6" t="inlineStr">
        <is>
          <t>Trưởng thôn</t>
        </is>
      </c>
      <c r="J8" s="6" t="inlineStr">
        <is>
          <t>Mức 1 - Hoàn toàn nhất trí: Thực tế địa phương chỉ có các loài phổ thông, chưa thấy loài quý hiếm; nhất trí với quy chế cho người dân thu hái lâm sản phụ.</t>
        </is>
      </c>
      <c r="K8" s="6" t="inlineStr"/>
      <c r="L8" s="6" t="inlineStr">
        <is>
          <t>Mức 1 - Tốt và rất an tâm: Rừng trồng và 63 hầm lắng giữ đất nước tốt, mùa mưa các năm qua không xảy ra sạt lở hay bồi lấp ruộng vườn.</t>
        </is>
      </c>
      <c r="M8" s="6" t="inlineStr"/>
      <c r="N8" s="6" t="inlineStr">
        <is>
          <t>Mức 1 - Rất hài lòng: Công ty tôn trọng tuyệt đối phong tục, mồ mả được giữ nguyên vẹn đai bảo vệ, ranh giới ổn định.</t>
        </is>
      </c>
      <c r="O8" s="6" t="inlineStr"/>
      <c r="P8" s="6" t="inlineStr">
        <is>
          <t>Mức 1 - Rất thực tế và ủng hộ cao: Các cam kết rất sát sườn, đúng mong mỏi của địa phương; hoàn toàn ủng hộ công ty duy trì FSC.</t>
        </is>
      </c>
      <c r="Q8" s="6" t="inlineStr"/>
      <c r="R8" s="6" t="inlineStr">
        <is>
          <t>Hoàn toàn nhất trí với kế hoạch quản lý rừng bền vững và bảo vệ HCVF của Công ty QPFL, không có ý kiến gì khác.</t>
        </is>
      </c>
      <c r="S8" s="6" t="inlineStr">
        <is>
          <t>Phan Thanh Hồng</t>
        </is>
      </c>
      <c r="T8" s="6" t="inlineStr">
        <is>
          <t>Trần Quang Tâm (Phòng Kỹ Thuật QPFL)</t>
        </is>
      </c>
    </row>
    <row r="9">
      <c r="A9" s="7" t="n">
        <v>4</v>
      </c>
      <c r="B9" s="7" t="inlineStr">
        <is>
          <t>22/10/2026 10:23:45</t>
        </is>
      </c>
      <c r="C9" s="8" t="inlineStr">
        <is>
          <t>Phan Thanh Hồng</t>
        </is>
      </c>
      <c r="D9" s="8" t="inlineStr">
        <is>
          <t xml:space="preserve">Trưởng Thôn </t>
        </is>
      </c>
      <c r="E9" s="8" t="inlineStr">
        <is>
          <t xml:space="preserve">Thôn Vĩnh Phước </t>
        </is>
      </c>
      <c r="F9" s="7" t="inlineStr">
        <is>
          <t>0974085296</t>
        </is>
      </c>
      <c r="G9" s="7" t="inlineStr">
        <is>
          <t>phanthanhhong.08041993@gmail.com</t>
        </is>
      </c>
      <c r="H9" s="8" t="inlineStr">
        <is>
          <t>Bình Dương</t>
        </is>
      </c>
      <c r="I9" s="8" t="inlineStr">
        <is>
          <t>Trưởng thôn</t>
        </is>
      </c>
      <c r="J9" s="8" t="inlineStr">
        <is>
          <t>Mức 1 - Hoàn toàn nhất trí: Thực tế địa phương chỉ có các loài phổ thông, chưa thấy loài quý hiếm; nhất trí với quy chế cho người dân thu hái lâm sản phụ.</t>
        </is>
      </c>
      <c r="K9" s="8" t="inlineStr"/>
      <c r="L9" s="8" t="inlineStr">
        <is>
          <t>Mức 2 - Khá nhưng còn ảnh hưởng cục bộ: Mưa bão lớn còn hiện tượng chảy tràn bùn cát ở đường vận xuất/lô mới khai thác, cần nạo vét kịp thời.</t>
        </is>
      </c>
      <c r="M9" s="8" t="inlineStr"/>
      <c r="N9" s="8" t="inlineStr">
        <is>
          <t>Mức 2 - Cơ bản hài lòng nhưng cần phối hợp tốt hơn: Cần tăng cường tuần tra PCCC mùa khô và rà soát cắm lại một số mốc ranh giới.</t>
        </is>
      </c>
      <c r="O9" s="8" t="inlineStr"/>
      <c r="P9" s="8" t="inlineStr">
        <is>
          <t>Mức 2 - Ủng hộ nhưng cần giám sát chặt chẽ: Đúng hướng nhưng cần bổ sung biện pháp đặc thù thôn/xã và công khai kết quả thực hiện.</t>
        </is>
      </c>
      <c r="Q9" s="8" t="inlineStr"/>
      <c r="R9" s="8" t="inlineStr">
        <is>
          <t xml:space="preserve">Việc khai thác rừng và vận chuyển gây hư hại cho đường đi lại tại các khu vực vận chuyển cần có hướng khắc phục , để người dân đi lại được thuận tiện,và đảm bảo an toàn </t>
        </is>
      </c>
      <c r="S9" s="8" t="inlineStr">
        <is>
          <t>Phan Thanh Hồng</t>
        </is>
      </c>
      <c r="T9" s="8" t="inlineStr">
        <is>
          <t>Trần Quang Tâm (Phòng Kỹ Thuật QPFL)</t>
        </is>
      </c>
    </row>
    <row r="10">
      <c r="A10" s="5" t="n">
        <v>5</v>
      </c>
      <c r="B10" s="5" t="inlineStr">
        <is>
          <t>22/10/2026 10:27:20</t>
        </is>
      </c>
      <c r="C10" s="6" t="inlineStr">
        <is>
          <t>Ngô Khánh Trực</t>
        </is>
      </c>
      <c r="D10" s="6" t="inlineStr">
        <is>
          <t>Phó Hạt trưởng</t>
        </is>
      </c>
      <c r="E10" s="6" t="inlineStr">
        <is>
          <t>Hạt Kiểm lâm khu vực Hoài Ân</t>
        </is>
      </c>
      <c r="F10" s="5" t="inlineStr">
        <is>
          <t>0978001388</t>
        </is>
      </c>
      <c r="G10" s="5" t="inlineStr">
        <is>
          <t>khanhtruckl@gmail.com</t>
        </is>
      </c>
      <c r="H10" s="6" t="inlineStr">
        <is>
          <t>Ân Tường</t>
        </is>
      </c>
      <c r="I10" s="6" t="inlineStr">
        <is>
          <t>Kiểm lâm</t>
        </is>
      </c>
      <c r="J10" s="6" t="inlineStr">
        <is>
          <t>Mức 1 - Hoàn toàn nhất trí: Thực tế địa phương chỉ có các loài phổ thông, chưa thấy loài quý hiếm; nhất trí với quy chế cho người dân thu hái lâm sản phụ.</t>
        </is>
      </c>
      <c r="K10" s="6" t="inlineStr">
        <is>
          <t>Đề nghị Công ty tiếp tục phối hợp với cơ quan kiểm lâm và chính quyền địa phương theo dõi, cập nhật thông tin về các loài động, thực vật hoang dã, đặc biệt là các loài nguy cấp, quý, hiếm; thực hiện nghiêm các quy định về bảo vệ động vật hoang dã. Việc thu hái lâm sản ngoài gỗ của người dân cần được hướng dẫn cụ thể về khu vực, phạm vi và phương thức thu hái, bảo đảm đúng quy định, không ảnh hưởng đến tài nguyên rừng và khả năng phục hồi tự nhiên.</t>
        </is>
      </c>
      <c r="L10" s="6" t="inlineStr">
        <is>
          <t>Mức 1 - Tốt và rất an tâm: Rừng trồng và 63 hầm lắng giữ đất nước tốt, mùa mưa các năm qua không xảy ra sạt lở hay bồi lấp ruộng vườn.</t>
        </is>
      </c>
      <c r="M10" s="6" t="inlineStr">
        <is>
          <t>Đề nghị Công ty tiếp tục duy trì, kiểm tra và bảo dưỡng hệ thống hầm lắng; bảo vệ dải cây tự nhiên ven khe suối, thực hiện tốt các biện pháp thoát nước và hạn chế xói mòn trong quá trình trồng, chăm sóc, khai thác rừng, góp phần bảo vệ môi trường sinh thái và nguồn nước phục vụ sinh hoạt, sản xuất của người dân địa phương.</t>
        </is>
      </c>
      <c r="N10" s="6" t="inlineStr">
        <is>
          <t>Mức 1 - Rất hài lòng: Công ty tôn trọng tuyệt đối phong tục, mồ mả được giữ nguyên vẹn đai bảo vệ, ranh giới ổn định.</t>
        </is>
      </c>
      <c r="O10" s="6" t="inlineStr">
        <is>
          <t>Đề nghị Công ty tiếp tục bảo vệ nguyên trạng các khu vực mồ mả, lăng mộ, bảo đảm lối đi thuận lợi cho người dân thăm viếng; phối hợp với chính quyền địa phương trong công tác quản lý ranh giới đất rừng, giữ gìn an ninh trật tự và chủ động triển khai các biện pháp phòng cháy, chữa cháy rừng trong mùa khô.</t>
        </is>
      </c>
      <c r="P10" s="6" t="inlineStr">
        <is>
          <t>Mức 1 - Rất thực tế và ủng hộ cao: Các cam kết rất sát sườn, đúng mong mỏi của địa phương; hoàn toàn ủng hộ công ty duy trì FSC.</t>
        </is>
      </c>
      <c r="Q10" s="6" t="inlineStr">
        <is>
          <t>Đề nghị Công ty tiếp tục thực hiện nghiêm các biện pháp quản lý, bảo vệ rừng, bảo tồn đa dạng sinh học, phòng cháy, chữa cháy rừng và bảo vệ nguồn nước; tăng cường kiểm tra, giám sát việc thực hiện các cam kết, kịp thời tiếp nhận và giải quyết phản ánh của người dân, góp phần nâng cao hiệu quả quản lý rừng bền vững.</t>
        </is>
      </c>
      <c r="R10" s="6" t="inlineStr">
        <is>
          <t>1. Tăng cường phối hợp với cơ quan kiểm lâm và chính quyền địa phương trong công tác quản lý, bảo vệ rừng, bảo tồn đa dạng sinh học, phòng cháy, chữa cháy rừng và kiểm tra việc chấp hành pháp luật về lâm nghiệp.
2. Rà soát, cập nhật bản đồ hiện trạng rừng, ranh giới lâm phần, các khu vực có nguy cơ xói mòn, sạt lở, khu vực nguồn nước và các địa điểm có giá trị văn hóa, tâm linh để có biện pháp quản lý phù hợp.
3. Xây dựng phương án phòng cháy, chữa cháy rừng sát với điều kiện thực tế từng địa bàn; chủ động phát hiện, xử lý nguy cơ cháy, không để cháy lan từ đất sản xuất của người dân vào rừng và ngược lại.
4. Thực hiện đầy đủ các quy định về khai thác, vận chuyển, quản lý và truy xuất nguồn gốc lâm sản; tăng cường kiểm tra, giám sát các hoạt động lâm sinh, khai thác rừng và vận xuất lâm sản.
5. Quan tâm tạo việc làm, ưu tiên sử dụng lao động địa phương phù hợp với nhu cầu thực tế; duy trì cơ chế tiếp nhận, giải quyết kịp thời phản ánh, kiến nghị của người dân.
6. Định kỳ báo cáo kết quả thực hiện các cam kết quản lý rừng bền vững, kịp thời khắc phục những tồn tại, hạn chế và phối hợp với các cơ quan chức năng trong quá trình kiểm tra, giám sát.</t>
        </is>
      </c>
      <c r="S10" s="6" t="inlineStr">
        <is>
          <t>Ngô Khánh Trực</t>
        </is>
      </c>
      <c r="T10" s="6" t="inlineStr">
        <is>
          <t>Trần Quang Tâm (Phòng Kỹ Thuật QPFL)</t>
        </is>
      </c>
    </row>
    <row r="11">
      <c r="A11" s="7" t="n">
        <v>6</v>
      </c>
      <c r="B11" s="7" t="inlineStr">
        <is>
          <t>22/10/2026 10:50:52</t>
        </is>
      </c>
      <c r="C11" s="8" t="inlineStr">
        <is>
          <t xml:space="preserve">Huỳnh Công Danh </t>
        </is>
      </c>
      <c r="D11" s="8" t="inlineStr">
        <is>
          <t>Trưởng Thôn</t>
        </is>
      </c>
      <c r="E11" s="8" t="inlineStr">
        <is>
          <t>Thôn Hiệp Vinh 2</t>
        </is>
      </c>
      <c r="F11" s="7" t="inlineStr">
        <is>
          <t>355425536</t>
        </is>
      </c>
      <c r="G11" s="7" t="inlineStr"/>
      <c r="H11" s="8" t="inlineStr">
        <is>
          <t>Canh Vinh</t>
        </is>
      </c>
      <c r="I11" s="8" t="inlineStr">
        <is>
          <t>Trưởng thôn</t>
        </is>
      </c>
      <c r="J11" s="8" t="inlineStr">
        <is>
          <t>Mức 1 - Hoàn toàn nhất trí: Thực tế địa phương chỉ có các loài phổ thông, chưa thấy loài quý hiếm; nhất trí với quy chế cho người dân thu hái lâm sản phụ.</t>
        </is>
      </c>
      <c r="K11" s="8" t="inlineStr"/>
      <c r="L11" s="8" t="inlineStr">
        <is>
          <t>Mức 1 - Tốt và rất an tâm: Rừng trồng và 63 hầm lắng giữ đất nước tốt, mùa mưa các năm qua không xảy ra sạt lở hay bồi lấp ruộng vườn.</t>
        </is>
      </c>
      <c r="M11" s="8" t="inlineStr"/>
      <c r="N11" s="8" t="inlineStr">
        <is>
          <t>Mức 1 - Rất hài lòng: Công ty tôn trọng tuyệt đối phong tục, mồ mả được giữ nguyên vẹn đai bảo vệ, ranh giới ổn định.</t>
        </is>
      </c>
      <c r="O11" s="8" t="inlineStr"/>
      <c r="P11" s="8" t="inlineStr">
        <is>
          <t>Mức 1 - Rất thực tế và ủng hộ cao: Các cam kết rất sát sườn, đúng mong mỏi của địa phương; hoàn toàn ủng hộ công ty duy trì FSC.</t>
        </is>
      </c>
      <c r="Q11" s="8" t="inlineStr"/>
      <c r="R11" s="8" t="inlineStr">
        <is>
          <t>Hoàn toàn nhất trí với kế hoạch quản lý rừng bền vững và bảo vệ HCVF của Công ty QPFL, không có ý kiến gì khác.</t>
        </is>
      </c>
      <c r="S11" s="8" t="inlineStr">
        <is>
          <t xml:space="preserve">Huỳnh Công Danh </t>
        </is>
      </c>
      <c r="T11" s="8" t="inlineStr">
        <is>
          <t>Trần Quang Tâm (Phòng Kỹ Thuật QPFL)</t>
        </is>
      </c>
    </row>
    <row r="12">
      <c r="A12" s="5" t="n">
        <v>7</v>
      </c>
      <c r="B12" s="5" t="inlineStr">
        <is>
          <t>22/10/2026 11:38:41</t>
        </is>
      </c>
      <c r="C12" s="6" t="inlineStr">
        <is>
          <t>Vũ Thị Thùy Trang</t>
        </is>
      </c>
      <c r="D12" s="6" t="inlineStr">
        <is>
          <t>Giàng viên</t>
        </is>
      </c>
      <c r="E12" s="6" t="inlineStr">
        <is>
          <t>Trường ĐH Nông lâm, Đại học Huế</t>
        </is>
      </c>
      <c r="F12" s="5" t="inlineStr"/>
      <c r="G12" s="5" t="inlineStr"/>
      <c r="H12" s="6" t="inlineStr">
        <is>
          <t>Khac</t>
        </is>
      </c>
      <c r="I12" s="6" t="inlineStr">
        <is>
          <t>Chuyên gia / Nhà khoa học</t>
        </is>
      </c>
      <c r="J12" s="6" t="inlineStr">
        <is>
          <t>Mức 1 - Hoàn toàn nhất trí: Thực tế địa phương chỉ có các loài phổ thông, chưa thấy loài quý hiếm; nhất trí với quy chế cho người dân thu hái lâm sản phụ.</t>
        </is>
      </c>
      <c r="K12" s="6" t="inlineStr"/>
      <c r="L12" s="6" t="inlineStr">
        <is>
          <t>Mức 2 - Khá nhưng còn ảnh hưởng cục bộ: Mưa bão lớn còn hiện tượng chảy tràn bùn cát ở đường vận xuất/lô mới khai thác, cần nạo vét kịp thời.</t>
        </is>
      </c>
      <c r="M12" s="6" t="inlineStr"/>
      <c r="N12" s="6" t="inlineStr">
        <is>
          <t>Mức 2 - Cơ bản hài lòng nhưng cần phối hợp tốt hơn: Cần tăng cường tuần tra PCCC mùa khô và rà soát cắm lại một số mốc ranh giới.</t>
        </is>
      </c>
      <c r="O12" s="6" t="inlineStr"/>
      <c r="P12" s="6" t="inlineStr">
        <is>
          <t>Mức 1 - Rất thực tế và ủng hộ cao: Các cam kết rất sát sườn, đúng mong mỏi của địa phương; hoàn toàn ủng hộ công ty duy trì FSC.</t>
        </is>
      </c>
      <c r="Q12" s="6" t="inlineStr"/>
      <c r="R12" s="6" t="inlineStr"/>
      <c r="S12" s="6" t="inlineStr">
        <is>
          <t>Vũ Thị Thùy Trang</t>
        </is>
      </c>
      <c r="T12" s="6" t="inlineStr">
        <is>
          <t>Trần Quang Tâm (Phòng Kỹ Thuật QPFL)</t>
        </is>
      </c>
    </row>
    <row r="13">
      <c r="A13" s="7" t="n">
        <v>8</v>
      </c>
      <c r="B13" s="7" t="inlineStr">
        <is>
          <t>22/10/2026 12:02:00</t>
        </is>
      </c>
      <c r="C13" s="8" t="inlineStr">
        <is>
          <t xml:space="preserve">Đinh Văn Mỹ </t>
        </is>
      </c>
      <c r="D13" s="8" t="inlineStr">
        <is>
          <t xml:space="preserve">Người dân địa phương </t>
        </is>
      </c>
      <c r="E13" s="8" t="inlineStr">
        <is>
          <t>Ở làng ka bông</t>
        </is>
      </c>
      <c r="F13" s="7" t="inlineStr">
        <is>
          <t>0338343247</t>
        </is>
      </c>
      <c r="G13" s="7" t="inlineStr"/>
      <c r="H13" s="8" t="inlineStr">
        <is>
          <t>Canh Liên</t>
        </is>
      </c>
      <c r="I13" s="8" t="inlineStr">
        <is>
          <t>Người dân</t>
        </is>
      </c>
      <c r="J13" s="8" t="inlineStr">
        <is>
          <t>Mức 1 - Hoàn toàn nhất trí: Thực tế địa phương chỉ có các loài phổ thông, chưa thấy loài quý hiếm; nhất trí với quy chế cho người dân thu hái lâm sản phụ.</t>
        </is>
      </c>
      <c r="K13" s="8" t="inlineStr"/>
      <c r="L13" s="8" t="inlineStr">
        <is>
          <t>Mức 1 - Tốt và rất an tâm: Rừng trồng và 63 hầm lắng giữ đất nước tốt, mùa mưa các năm qua không xảy ra sạt lở hay bồi lấp ruộng vườn.</t>
        </is>
      </c>
      <c r="M13" s="8" t="inlineStr"/>
      <c r="N13" s="8" t="inlineStr">
        <is>
          <t>Mức 1 - Rất hài lòng: Công ty tôn trọng tuyệt đối phong tục, mồ mả được giữ nguyên vẹn đai bảo vệ, ranh giới ổn định.</t>
        </is>
      </c>
      <c r="O13" s="8" t="inlineStr"/>
      <c r="P13" s="8" t="inlineStr">
        <is>
          <t>Mức 1 - Rất thực tế và ủng hộ cao: Các cam kết rất sát sườn, đúng mong mỏi của địa phương; hoàn toàn ủng hộ công ty duy trì FSC.</t>
        </is>
      </c>
      <c r="Q13" s="8" t="inlineStr"/>
      <c r="R13" s="8" t="inlineStr">
        <is>
          <t>Hoàn toàn nhất trí với kế hoạch quản lý rừng bền vững và bảo vệ HCVF của Công ty QPFL, không có ý kiến gì khác.</t>
        </is>
      </c>
      <c r="S13" s="8" t="inlineStr">
        <is>
          <t xml:space="preserve">Đinh Văn Mỹ </t>
        </is>
      </c>
      <c r="T13" s="8" t="inlineStr">
        <is>
          <t>Trần Quang Tâm (Phòng Kỹ Thuật QPFL)</t>
        </is>
      </c>
    </row>
    <row r="14">
      <c r="A14" s="5" t="n">
        <v>9</v>
      </c>
      <c r="B14" s="5" t="inlineStr">
        <is>
          <t>22/10/2026 12:12:25</t>
        </is>
      </c>
      <c r="C14" s="6" t="inlineStr">
        <is>
          <t xml:space="preserve">ĐINH VĂN ĐEN </t>
        </is>
      </c>
      <c r="D14" s="6" t="inlineStr">
        <is>
          <t xml:space="preserve">Nhân viên kỹ thuật </t>
        </is>
      </c>
      <c r="E14" s="6" t="inlineStr">
        <is>
          <t xml:space="preserve">Xí nghiệp lâm nghiệp pisico </t>
        </is>
      </c>
      <c r="F14" s="5" t="inlineStr">
        <is>
          <t>0343240895</t>
        </is>
      </c>
      <c r="G14" s="5" t="inlineStr"/>
      <c r="H14" s="6" t="inlineStr">
        <is>
          <t>Canh Liên</t>
        </is>
      </c>
      <c r="I14" s="6" t="inlineStr">
        <is>
          <t>Công nhân / Bảo vệ rừng</t>
        </is>
      </c>
      <c r="J14" s="6" t="inlineStr">
        <is>
          <t>Mức 1 - Hoàn toàn nhất trí: Thực tế địa phương chỉ có các loài phổ thông, chưa thấy loài quý hiếm; nhất trí với quy chế cho người dân thu hái lâm sản phụ.</t>
        </is>
      </c>
      <c r="K14" s="6" t="inlineStr"/>
      <c r="L14" s="6" t="inlineStr">
        <is>
          <t>Mức 1 - Tốt và rất an tâm: Rừng trồng và 63 hầm lắng giữ đất nước tốt, mùa mưa các năm qua không xảy ra sạt lở hay bồi lấp ruộng vườn.</t>
        </is>
      </c>
      <c r="M14" s="6" t="inlineStr"/>
      <c r="N14" s="6" t="inlineStr">
        <is>
          <t>Mức 1 - Rất hài lòng: Công ty tôn trọng tuyệt đối phong tục, mồ mả được giữ nguyên vẹn đai bảo vệ, ranh giới ổn định.</t>
        </is>
      </c>
      <c r="O14" s="6" t="inlineStr"/>
      <c r="P14" s="6" t="inlineStr">
        <is>
          <t>Mức 1 - Rất thực tế và ủng hộ cao: Các cam kết rất sát sườn, đúng mong mỏi của địa phương; hoàn toàn ủng hộ công ty duy trì FSC.</t>
        </is>
      </c>
      <c r="Q14" s="6" t="inlineStr"/>
      <c r="R14" s="6" t="inlineStr"/>
      <c r="S14" s="6" t="inlineStr">
        <is>
          <t xml:space="preserve">ĐINH VĂN ĐEN </t>
        </is>
      </c>
      <c r="T14" s="6" t="inlineStr">
        <is>
          <t>Trần Quang Tâm (Phòng Kỹ Thuật QPFL)</t>
        </is>
      </c>
    </row>
    <row r="15">
      <c r="A15" s="7" t="n">
        <v>10</v>
      </c>
      <c r="B15" s="7" t="inlineStr">
        <is>
          <t>22/10/2026 13:31:55</t>
        </is>
      </c>
      <c r="C15" s="8" t="inlineStr">
        <is>
          <t>Lộc Vũ Trung</t>
        </is>
      </c>
      <c r="D15" s="8" t="inlineStr">
        <is>
          <t>Chuyên gia Lâm nghiệp / Cán bộ Kỹ thuật Tài nguyên &amp; Môi trường</t>
        </is>
      </c>
      <c r="E15" s="8" t="inlineStr">
        <is>
          <t xml:space="preserve">Tổ chức NGO về Bảo tồn Đa Dạng sinh học </t>
        </is>
      </c>
      <c r="F15" s="7" t="inlineStr">
        <is>
          <t>0913191178</t>
        </is>
      </c>
      <c r="G15" s="7" t="inlineStr">
        <is>
          <t>locvutrung@gmail.com</t>
        </is>
      </c>
      <c r="H15" s="8" t="inlineStr">
        <is>
          <t>Khac</t>
        </is>
      </c>
      <c r="I15" s="8" t="inlineStr">
        <is>
          <t>Chuyên gia / Nhà khoa học</t>
        </is>
      </c>
      <c r="J15" s="8" t="inlineStr">
        <is>
          <t>Mức 1 - Hoàn toàn nhất trí: Thực tế địa phương chỉ có các loài phổ thông, chưa thấy loài quý hiếm; nhất trí với quy chế cho người dân thu hái lâm sản phụ.</t>
        </is>
      </c>
      <c r="K15" s="8" t="inlineStr">
        <is>
          <t>Kết quả điều tra cho kết quả rất thuyết phục phù hợp với tình hình chung. Lâm phần là rừng trồng keo thuần loại luân kỳ ngắn, không có sinh cảnh cho thú lớn hay loài quý hiếm. Toàn bộ loài ghi nhận (34 loài ĐV, 297 loài TV) đều là loài phổ thông, ít quan tâm (LC) theo IUCN và Sách Đỏ Việt Nam. Bà con thu hái nấm, chổi sể ổn định, không có rủi ro sinh thái.</t>
        </is>
      </c>
      <c r="L15" s="8" t="inlineStr">
        <is>
          <t>Mức 2 - Khá nhưng còn ảnh hưởng cục bộ: Mưa bão lớn còn hiện tượng chảy tràn bùn cát ở đường vận xuất/lô mới khai thác, cần nạo vét kịp thời.</t>
        </is>
      </c>
      <c r="M15" s="8" t="inlineStr">
        <is>
          <t>Hệ thống hầm lắng Canh Phong của công ty phát huy hiệu quả giữ bùn cát rất tốt. Do đặc thù Bình Định mưa bão lớn dồn dập cuối năm, đề xuất công ty duy trì nạo vét định kỳ hầm lắng và giữ vững đai cây xanh ven suối (Thuộc lâm phận quản lý của QPFL) để chủ động phòng ngừa xói mòn đất dốc khi khai thác.</t>
        </is>
      </c>
      <c r="N15" s="8" t="inlineStr">
        <is>
          <t>Mức 2 - Cơ bản hài lòng nhưng cần phối hợp tốt hơn: Cần tăng cường tuần tra PCCC mùa khô và rà soát cắm lại một số mốc ranh giới.</t>
        </is>
      </c>
      <c r="O15" s="8" t="inlineStr">
        <is>
          <t>Hiện nay Công ty đã có những hoạt động tích cực thể hiện sự tôn trọng và bảo vệ nguyên vẹn các khu mồ mả, tạo điều kiện thuận lợi cho bà con thăm viếng. Vào mùa khô gió phơn, đề nghị công ty tăng cường phối hợp với Kiểm lâm địa bàn và xã để tuần tra PCCC rừng 4 tại chỗ, phát dọn đường băng cản lửa giáp ranh nương rẫy của dân.</t>
        </is>
      </c>
      <c r="P15" s="8" t="inlineStr">
        <is>
          <t>Mức 1 - Rất thực tế và ủng hộ cao: Các cam kết rất sát sườn, đúng mong mỏi của địa phương; hoàn toàn ủng hộ công ty duy trì FSC.</t>
        </is>
      </c>
      <c r="Q15" s="8" t="inlineStr">
        <is>
          <t>Tôi nhận thấy những cam kết của QPFL rất thực tế, đúng trọng tâm và sát với năng lực của đơn vị trồng rừng sản xuất. Hoàn toàn ủng hộ công ty tiếp tục duy trì chứng chỉ FSC và thực hiện giám sát thường niên.</t>
        </is>
      </c>
      <c r="R15" s="8" t="inlineStr">
        <is>
          <t xml:space="preserve">Đề nghị công ty tiếp tục duy trì quy chế phối hợp định kỳ với chính quyền các xã có lâm phận rừng trồng và Hạt Kiểm lâm; duy trì số điện thoại nóng để tiếp nhận thông tin và đồng hành cùng người dân phát triển kinh tế lâm nghiệp bền vững.
Rất vui vì đã ghi nhận ý kiến tham vấn. </t>
        </is>
      </c>
      <c r="S15" s="8" t="inlineStr">
        <is>
          <t>Lộc Vũ Trung</t>
        </is>
      </c>
      <c r="T15" s="8" t="inlineStr">
        <is>
          <t>Trần Quang Tâm (Phòng Kỹ Thuật QPFL)</t>
        </is>
      </c>
    </row>
    <row r="16">
      <c r="A16" s="5" t="n">
        <v>11</v>
      </c>
      <c r="B16" s="5" t="inlineStr">
        <is>
          <t>22/10/2026 14:56:32</t>
        </is>
      </c>
      <c r="C16" s="6" t="inlineStr">
        <is>
          <t>Lê Anh Tuấn</t>
        </is>
      </c>
      <c r="D16" s="6" t="inlineStr">
        <is>
          <t>Giám Đốc</t>
        </is>
      </c>
      <c r="E16" s="6" t="inlineStr">
        <is>
          <t>Xí nghiệp Lâm nghiệp PISICO - CN PISICO</t>
        </is>
      </c>
      <c r="F16" s="5" t="inlineStr">
        <is>
          <t>0969656060</t>
        </is>
      </c>
      <c r="G16" s="5" t="inlineStr"/>
      <c r="H16" s="6" t="inlineStr">
        <is>
          <t>Khac</t>
        </is>
      </c>
      <c r="I16" s="6" t="inlineStr">
        <is>
          <t>Đối tác</t>
        </is>
      </c>
      <c r="J16" s="6" t="inlineStr">
        <is>
          <t>Mức 1 - Hoàn toàn nhất trí: Thực tế địa phương chỉ có các loài phổ thông, chưa thấy loài quý hiếm; nhất trí với quy chế cho người dân thu hái lâm sản phụ.</t>
        </is>
      </c>
      <c r="K16" s="6" t="inlineStr"/>
      <c r="L16" s="6" t="inlineStr">
        <is>
          <t>Mức 1 - Tốt và rất an tâm: Rừng trồng và 63 hầm lắng giữ đất nước tốt, mùa mưa các năm qua không xảy ra sạt lở hay bồi lấp ruộng vườn.</t>
        </is>
      </c>
      <c r="M16" s="6" t="inlineStr"/>
      <c r="N16" s="6" t="inlineStr">
        <is>
          <t>Mức 2 - Cơ bản hài lòng nhưng cần phối hợp tốt hơn: Cần tăng cường tuần tra PCCC mùa khô và rà soát cắm lại một số mốc ranh giới.</t>
        </is>
      </c>
      <c r="O16" s="6" t="inlineStr"/>
      <c r="P16" s="6" t="inlineStr">
        <is>
          <t>Mức 1 - Rất thực tế và ủng hộ cao: Các cam kết rất sát sườn, đúng mong mỏi của địa phương; hoàn toàn ủng hộ công ty duy trì FSC.</t>
        </is>
      </c>
      <c r="Q16" s="6" t="inlineStr"/>
      <c r="R16" s="6" t="inlineStr"/>
      <c r="S16" s="6" t="inlineStr">
        <is>
          <t>Lê Anh Tuấn</t>
        </is>
      </c>
      <c r="T16" s="6" t="inlineStr">
        <is>
          <t>Trần Quang Tâm (Phòng Kỹ Thuật QPFL)</t>
        </is>
      </c>
    </row>
    <row r="17">
      <c r="A17" s="7" t="n">
        <v>12</v>
      </c>
      <c r="B17" s="7" t="inlineStr">
        <is>
          <t>22/10/2026 15:00:57</t>
        </is>
      </c>
      <c r="C17" s="8" t="inlineStr">
        <is>
          <t>Nguyễn Tấn Đính</t>
        </is>
      </c>
      <c r="D17" s="8" t="inlineStr"/>
      <c r="E17" s="8" t="inlineStr">
        <is>
          <t>Xí nghiệp lâm nghiệp Pisico</t>
        </is>
      </c>
      <c r="F17" s="7" t="inlineStr">
        <is>
          <t>0964115687</t>
        </is>
      </c>
      <c r="G17" s="7" t="inlineStr">
        <is>
          <t>nguyendinh47fptpt@gmail.com</t>
        </is>
      </c>
      <c r="H17" s="8" t="inlineStr">
        <is>
          <t>An Nhơn Nam</t>
        </is>
      </c>
      <c r="I17" s="8" t="inlineStr">
        <is>
          <t>Công nhân / Bảo vệ rừng</t>
        </is>
      </c>
      <c r="J17" s="8" t="inlineStr">
        <is>
          <t>Mức 1 - Hoàn toàn nhất trí: Thực tế địa phương chỉ có các loài phổ thông, chưa thấy loài quý hiếm; nhất trí với quy chế cho người dân thu hái lâm sản phụ.</t>
        </is>
      </c>
      <c r="K17" s="8" t="inlineStr"/>
      <c r="L17" s="8" t="inlineStr">
        <is>
          <t>Mức 1 - Tốt và rất an tâm: Rừng trồng và 63 hầm lắng giữ đất nước tốt, mùa mưa các năm qua không xảy ra sạt lở hay bồi lấp ruộng vườn.</t>
        </is>
      </c>
      <c r="M17" s="8" t="inlineStr"/>
      <c r="N17" s="8" t="inlineStr">
        <is>
          <t>Mức 1 - Rất hài lòng: Công ty tôn trọng tuyệt đối phong tục, mồ mả được giữ nguyên vẹn đai bảo vệ, ranh giới ổn định.</t>
        </is>
      </c>
      <c r="O17" s="8" t="inlineStr"/>
      <c r="P17" s="8" t="inlineStr">
        <is>
          <t>Mức 1 - Rất thực tế và ủng hộ cao: Các cam kết rất sát sườn, đúng mong mỏi của địa phương; hoàn toàn ủng hộ công ty duy trì FSC.</t>
        </is>
      </c>
      <c r="Q17" s="8" t="inlineStr"/>
      <c r="R17" s="8" t="inlineStr"/>
      <c r="S17" s="8" t="inlineStr">
        <is>
          <t>Nguyễn Tấn Đính</t>
        </is>
      </c>
      <c r="T17" s="8" t="inlineStr">
        <is>
          <t>Trần Quang Tâm (Phòng Kỹ Thuật QPFL)</t>
        </is>
      </c>
    </row>
    <row r="18">
      <c r="A18" s="5" t="n">
        <v>13</v>
      </c>
      <c r="B18" s="5" t="inlineStr">
        <is>
          <t>22/10/2026 16:06:33</t>
        </is>
      </c>
      <c r="C18" s="6" t="inlineStr">
        <is>
          <t>Lê Thái Hùng</t>
        </is>
      </c>
      <c r="D18" s="6" t="inlineStr">
        <is>
          <t>Giảng viên</t>
        </is>
      </c>
      <c r="E18" s="6" t="inlineStr">
        <is>
          <t>Trường Đại học Nông Lâm, Đại học Huế</t>
        </is>
      </c>
      <c r="F18" s="5" t="inlineStr">
        <is>
          <t>0914-546-557</t>
        </is>
      </c>
      <c r="G18" s="5" t="inlineStr">
        <is>
          <t>lethaihung@huaf.edu.vn</t>
        </is>
      </c>
      <c r="H18" s="6" t="inlineStr">
        <is>
          <t>Khac</t>
        </is>
      </c>
      <c r="I18" s="6" t="inlineStr">
        <is>
          <t>Chuyên gia / Nhà khoa học</t>
        </is>
      </c>
      <c r="J18" s="6" t="inlineStr">
        <is>
          <t>Mức 1 - Hoàn toàn nhất trí: Thực tế địa phương chỉ có các loài phổ thông, chưa thấy loài quý hiếm; nhất trí với quy chế cho người dân thu hái lâm sản phụ.</t>
        </is>
      </c>
      <c r="K18" s="6" t="inlineStr"/>
      <c r="L18" s="6" t="inlineStr">
        <is>
          <t>Mức 1 - Tốt và rất an tâm: Rừng trồng và 63 hầm lắng giữ đất nước tốt, mùa mưa các năm qua không xảy ra sạt lở hay bồi lấp ruộng vườn.</t>
        </is>
      </c>
      <c r="M18" s="6" t="inlineStr"/>
      <c r="N18" s="6" t="inlineStr">
        <is>
          <t>Mức 1 - Rất hài lòng: Công ty tôn trọng tuyệt đối phong tục, mồ mả được giữ nguyên vẹn đai bảo vệ, ranh giới ổn định.</t>
        </is>
      </c>
      <c r="O18" s="6" t="inlineStr"/>
      <c r="P18" s="6" t="inlineStr">
        <is>
          <t>Mức 1 - Rất thực tế và ủng hộ cao: Các cam kết rất sát sườn, đúng mong mỏi của địa phương; hoàn toàn ủng hộ công ty duy trì FSC.</t>
        </is>
      </c>
      <c r="Q18" s="6" t="inlineStr"/>
      <c r="R18" s="6" t="inlineStr">
        <is>
          <t>Hoàn toàn nhất trí với kế hoạch quản lý rừng bền vững và bảo vệ HCVF của Công ty QPFL, không có ý kiến gì khác.</t>
        </is>
      </c>
      <c r="S18" s="6" t="inlineStr">
        <is>
          <t>Lê Thái Hùng</t>
        </is>
      </c>
      <c r="T18" s="6" t="inlineStr">
        <is>
          <t>Trần Quang Tâm (Phòng Kỹ Thuật QPFL)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40" customWidth="1" min="1" max="1"/>
    <col width="40" customWidth="1" min="2" max="2"/>
    <col width="45" customWidth="1" min="3" max="3"/>
    <col width="22" customWidth="1" min="4" max="4"/>
    <col width="23" customWidth="1" min="5" max="5"/>
  </cols>
  <sheetData>
    <row r="1">
      <c r="A1" s="1" t="inlineStr">
        <is>
          <t>TỔNG HỢP VÀ THỐNG KÊ TỶ LỆ ĐỒNG THUẬN CỦA CÁC BÊN LIÊN QUAN (HCV 1, 4, 6)</t>
        </is>
      </c>
    </row>
    <row r="2">
      <c r="A2" s="9" t="inlineStr">
        <is>
          <t>Dữ liệu phục vụ Báo cáo Tham vấn và Bằng chứng đóng Major CAR 03</t>
        </is>
      </c>
    </row>
    <row r="3">
      <c r="A3" s="3" t="inlineStr">
        <is>
          <t>Tác giả: Lộc Vũ Trung | Công thức Excel tự động tổng hợp theo thời gian thực</t>
        </is>
      </c>
    </row>
    <row r="4"/>
    <row r="5">
      <c r="A5" s="10" t="inlineStr">
        <is>
          <t>TỔNG SỐ PHIẾU ĐÃ THAM VẤN:</t>
        </is>
      </c>
      <c r="C5" s="1">
        <f>COUNTA('CHI_TIET_PHIEU_THAM_VAN'!A6:A1000)</f>
        <v/>
      </c>
    </row>
    <row r="6"/>
    <row r="7">
      <c r="A7" s="10" t="inlineStr">
        <is>
          <t>1. CƠ CẤU NHÓM BÊN LIÊN QUAN THAM GIA THAM VẤN</t>
        </is>
      </c>
    </row>
    <row r="8">
      <c r="A8" s="11" t="inlineStr">
        <is>
          <t>STT</t>
        </is>
      </c>
      <c r="B8" s="11" t="inlineStr">
        <is>
          <t>Nhóm Bên Liên Quan</t>
        </is>
      </c>
      <c r="C8" s="11" t="inlineStr">
        <is>
          <t>Số Lượng (Phiếu)</t>
        </is>
      </c>
      <c r="D8" s="11" t="inlineStr">
        <is>
          <t>Tỷ Lệ (%)</t>
        </is>
      </c>
    </row>
    <row r="9">
      <c r="A9" s="12" t="n">
        <v>1</v>
      </c>
      <c r="B9" s="13" t="inlineStr">
        <is>
          <t>Cơ quan Quản lý Lâm nghiệp (Kiểm lâm)</t>
        </is>
      </c>
      <c r="C9" s="14">
        <f>COUNTIF('CHI_TIET_PHIEU_THAM_VAN'!I$6:I$1000, "*Kiểm lâm*")</f>
        <v/>
      </c>
      <c r="D9" s="15">
        <f>IF($C$5&gt;0, C9/$C$5, 0)</f>
        <v/>
      </c>
    </row>
    <row r="10">
      <c r="A10" s="12" t="n">
        <v>2</v>
      </c>
      <c r="B10" s="13" t="inlineStr">
        <is>
          <t>Chính quyền địa phương (Trưởng thôn / Xã)</t>
        </is>
      </c>
      <c r="C10" s="14">
        <f>COUNTIF('CHI_TIET_PHIEU_THAM_VAN'!I$6:I$1000, "*thôn*")</f>
        <v/>
      </c>
      <c r="D10" s="15">
        <f>IF($C$5&gt;0, C10/$C$5, 0)</f>
        <v/>
      </c>
    </row>
    <row r="11">
      <c r="A11" s="12" t="n">
        <v>3</v>
      </c>
      <c r="B11" s="13" t="inlineStr">
        <is>
          <t>Doanh nghiệp lâm nghiệp / Đối tác giáp ranh</t>
        </is>
      </c>
      <c r="C11" s="14">
        <f>COUNTIF('CHI_TIET_PHIEU_THAM_VAN'!I$6:I$1000, "*Đối tác*")</f>
        <v/>
      </c>
      <c r="D11" s="15">
        <f>IF($C$5&gt;0, C11/$C$5, 0)</f>
        <v/>
      </c>
    </row>
    <row r="12">
      <c r="A12" s="12" t="n">
        <v>4</v>
      </c>
      <c r="B12" s="13" t="inlineStr">
        <is>
          <t>Cộng đồng dân cư / Người dân địa phương</t>
        </is>
      </c>
      <c r="C12" s="14">
        <f>COUNTIF('CHI_TIET_PHIEU_THAM_VAN'!I$6:I$1000, "*Người dân*")</f>
        <v/>
      </c>
      <c r="D12" s="15">
        <f>IF($C$5&gt;0, C12/$C$5, 0)</f>
        <v/>
      </c>
    </row>
    <row r="13">
      <c r="A13" s="12" t="n">
        <v>5</v>
      </c>
      <c r="B13" s="13" t="inlineStr">
        <is>
          <t>Chuyên gia / Nhà khoa học / Giảng viên</t>
        </is>
      </c>
      <c r="C13" s="14">
        <f>COUNTIF('CHI_TIET_PHIEU_THAM_VAN'!I$6:I$1000, "*Chuyên gia*")</f>
        <v/>
      </c>
      <c r="D13" s="15">
        <f>IF($C$5&gt;0, C13/$C$5, 0)</f>
        <v/>
      </c>
    </row>
    <row r="14">
      <c r="A14" s="12" t="n">
        <v>6</v>
      </c>
      <c r="B14" s="13" t="inlineStr">
        <is>
          <t>Công nhân / Bảo vệ rừng</t>
        </is>
      </c>
      <c r="C14" s="14">
        <f>COUNTIF('CHI_TIET_PHIEU_THAM_VAN'!I$6:I$1000, "*Công nhân*")</f>
        <v/>
      </c>
      <c r="D14" s="15">
        <f>IF($C$5&gt;0, C14/$C$5, 0)</f>
        <v/>
      </c>
    </row>
    <row r="15"/>
    <row r="16">
      <c r="A16" s="10" t="inlineStr">
        <is>
          <t>2. CHỈ SỐ ĐỒNG THUẬN CÁC GIẢI PHÁP ĐÓNG CAR 03 (HCV 1, HCV 4, HCV 6)</t>
        </is>
      </c>
    </row>
    <row r="17">
      <c r="A17" s="11" t="inlineStr">
        <is>
          <t>STT</t>
        </is>
      </c>
      <c r="B17" s="11" t="inlineStr">
        <is>
          <t>Tiêu Chí &amp; Giá Trị Bảo Tồn</t>
        </is>
      </c>
      <c r="C17" s="11" t="inlineStr">
        <is>
          <t>Mô Tả Tiêu Chí Đánh Giá</t>
        </is>
      </c>
      <c r="D17" s="11" t="inlineStr">
        <is>
          <t>Số Lượng Đồng Thuận</t>
        </is>
      </c>
      <c r="E17" s="11" t="inlineStr">
        <is>
          <t>Tỷ Lệ Đồng Thuận (%)</t>
        </is>
      </c>
    </row>
    <row r="18">
      <c r="A18" s="12" t="n">
        <v>1</v>
      </c>
      <c r="B18" s="13" t="inlineStr">
        <is>
          <t>Đa dạng sinh học &amp; Lâm sản phụ [HCV 1]</t>
        </is>
      </c>
      <c r="C18" s="13" t="inlineStr">
        <is>
          <t>Nhất trí bảo tồn loài và quy chế thu hái lâm sản phụ</t>
        </is>
      </c>
      <c r="D18" s="14">
        <f>COUNTIF('CHI_TIET_PHIEU_THAM_VAN'!J$6:J$1000, "*nhất trí*") + COUNTIF('CHI_TIET_PHIEU_THAM_VAN'!J$6:J$1000, "*Mức 1*")</f>
        <v/>
      </c>
      <c r="E18" s="15">
        <f>IF($C$5&gt;0, D18/$C$5, 0)</f>
        <v/>
      </c>
    </row>
    <row r="19">
      <c r="A19" s="12" t="n">
        <v>2</v>
      </c>
      <c r="B19" s="13" t="inlineStr">
        <is>
          <t>Nguồn nước &amp; Chống xói mòn [HCV 4]</t>
        </is>
      </c>
      <c r="C19" s="13" t="inlineStr">
        <is>
          <t>An tâm với 63 hầm lắng và dải cây giữ đất giữ nước</t>
        </is>
      </c>
      <c r="D19" s="14">
        <f>COUNTIF('CHI_TIET_PHIEU_THAM_VAN'!L$6:L$1000, "*an tâm*") + COUNTIF('CHI_TIET_PHIEU_THAM_VAN'!L$6:L$1000, "*Mức 1*")</f>
        <v/>
      </c>
      <c r="E19" s="15">
        <f>IF($C$5&gt;0, D19/$C$5, 0)</f>
        <v/>
      </c>
    </row>
    <row r="20">
      <c r="A20" s="12" t="n">
        <v>3</v>
      </c>
      <c r="B20" s="13" t="inlineStr">
        <is>
          <t>Mồ mả, Phong tục &amp; An toàn PCCC [HCV 6]</t>
        </is>
      </c>
      <c r="C20" s="13" t="inlineStr">
        <is>
          <t>Hài lòng về đai đệm bảo vệ mồ mả và ổn định ranh giới</t>
        </is>
      </c>
      <c r="D20" s="14">
        <f>COUNTIF('CHI_TIET_PHIEU_THAM_VAN'!N$6:N$1000, "*hài lòng*") + COUNTIF('CHI_TIET_PHIEU_THAM_VAN'!N$6:N$1000, "*Mức 1*")</f>
        <v/>
      </c>
      <c r="E20" s="15">
        <f>IF($C$5&gt;0, D20/$C$5, 0)</f>
        <v/>
      </c>
    </row>
    <row r="21">
      <c r="A21" s="12" t="n">
        <v>4</v>
      </c>
      <c r="B21" s="13" t="inlineStr">
        <is>
          <t>Cam kết quản lý rừng bền vững QPFL [Chung]</t>
        </is>
      </c>
      <c r="C21" s="13" t="inlineStr">
        <is>
          <t>Đồng thuận và ủng hộ cao công ty duy trì FSC</t>
        </is>
      </c>
      <c r="D21" s="14">
        <f>COUNTIF('CHI_TIET_PHIEU_THAM_VAN'!P$6:P$1000, "*ủng hộ*") + COUNTIF('CHI_TIET_PHIEU_THAM_VAN'!P$6:P$1000, "*Mức 1*")</f>
        <v/>
      </c>
      <c r="E21" s="15">
        <f>IF($C$5&gt;0, D21/$C$5, 0)</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Lộc Vũ Trung</dc:creator>
  <dc:title xmlns:dc="http://purl.org/dc/elements/1.1/">QPFL FSC HCVF 2026 - Tổng Hợp Tham Vấn</dc:title>
  <dcterms:created xmlns:dcterms="http://purl.org/dc/terms/" xmlns:xsi="http://www.w3.org/2001/XMLSchema-instance" xsi:type="dcterms:W3CDTF">2026-10-27T01:32:14Z</dcterms:created>
  <dcterms:modified xmlns:dcterms="http://purl.org/dc/terms/" xmlns:xsi="http://www.w3.org/2001/XMLSchema-instance" xsi:type="dcterms:W3CDTF">2026-10-27T01:32:14Z</dcterms:modified>
</cp:coreProperties>
</file>